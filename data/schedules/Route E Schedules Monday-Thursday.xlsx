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-Thurs" sheetId="1" r:id="rId4"/>
    <sheet state="hidden" name="Mon-Fri" sheetId="2" r:id="rId5"/>
  </sheets>
  <definedNames>
    <definedName name="Stops_Weekday">#REF!</definedName>
    <definedName name="Stops_Weekend">#REF!</definedName>
    <definedName name="Location_1_Stop_Times">#REF!</definedName>
    <definedName name="Stops_Holiday">#REF!</definedName>
  </definedNames>
  <calcPr/>
</workbook>
</file>

<file path=xl/sharedStrings.xml><?xml version="1.0" encoding="utf-8"?>
<sst xmlns="http://schemas.openxmlformats.org/spreadsheetml/2006/main" count="42" uniqueCount="20">
  <si>
    <t>Campus Shuttle Service is suspended for the summer. Shuttles will restart in Fall 2026.</t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</si>
  <si>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Academic Year 2025-2026 (in effect</t>
    </r>
    <r>
      <rPr>
        <rFont val="Calibri"/>
        <b/>
        <color rgb="FF000000"/>
        <sz val="14.0"/>
      </rPr>
      <t xml:space="preserve"> 9/2/25</t>
    </r>
    <r>
      <rPr>
        <rFont val="Calibri"/>
        <b val="0"/>
        <color rgb="FF000000"/>
        <sz val="14.0"/>
      </rPr>
      <t>)</t>
    </r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</si>
  <si>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Spring 2021 (beginning on 1/28/21)</t>
    </r>
  </si>
  <si>
    <t>715 Broadway Departure</t>
  </si>
  <si>
    <t>14th St. at Irving Place (EB)</t>
  </si>
  <si>
    <t>14th St at 3rd Ave.</t>
  </si>
  <si>
    <t>1st Ave. at 17th St.</t>
  </si>
  <si>
    <t>1st Ave. at 24th St.</t>
  </si>
  <si>
    <t>1st Ave. at 26th St.</t>
  </si>
  <si>
    <t>NYU Langone Health</t>
  </si>
  <si>
    <t>Lexington Ave. at 31st St.</t>
  </si>
  <si>
    <t>Gramercy Green</t>
  </si>
  <si>
    <t>3rd Ave. at 17th St.</t>
  </si>
  <si>
    <t>14th St. at Irving Place (WB)</t>
  </si>
  <si>
    <t>715 Broadway Arrival</t>
  </si>
  <si>
    <t>*Internal Use Only</t>
  </si>
  <si>
    <t>715 Broadway</t>
  </si>
  <si>
    <t>14th St at Irving Place (EB)</t>
  </si>
  <si>
    <t>14th St at Irving Place (WB)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</si>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</sst>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b/>
      <color rgb="FFFF0000"/>
    </font>
    <font>
      <name val="Arial"/>
    </font>
    <font>
      <b/>
      <sz val="14.0"/>
      <color rgb="FF000000"/>
      <name val="Calibri"/>
    </font>
    <font>
      <sz val="14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readingOrder="0" vertical="bottom"/>
    </xf>
    <xf borderId="0" fillId="3" fontId="4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1" fillId="4" fontId="5" numFmtId="164" xfId="0" applyAlignment="1" applyBorder="1" applyFill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1" fillId="2" fontId="5" numFmtId="164" xfId="0" applyAlignment="1" applyBorder="1" applyFill="1" applyFont="1" applyNumberFormat="1">
      <alignment horizontal="center" readingOrder="0" shrinkToFit="0" vertical="bottom" wrapText="0"/>
    </xf>
    <xf borderId="2" fillId="2" fontId="5" numFmtId="164" xfId="0" applyAlignment="1" applyBorder="1" applyFill="1" applyFont="1" applyNumberFormat="1">
      <alignment horizontal="center" readingOrder="0" shrinkToFit="0" vertical="bottom" wrapText="0"/>
    </xf>
    <xf borderId="3" fillId="2" fontId="6" numFmtId="0" xfId="0" applyAlignment="1" applyBorder="1" applyFill="1" applyFont="1">
      <alignment horizontal="center" readingOrder="0" shrinkToFit="0" vertical="bottom" wrapText="0"/>
    </xf>
    <xf borderId="4" fillId="4" fontId="5" numFmtId="164" xfId="0" applyAlignment="1" applyBorder="1" applyFill="1" applyFont="1" applyNumberFormat="1">
      <alignment horizontal="center" readingOrder="0" shrinkToFit="0" vertical="bottom" wrapText="0"/>
    </xf>
    <xf borderId="5" fillId="4" fontId="5" numFmtId="164" xfId="0" applyAlignment="1" applyBorder="1" applyFill="1" applyFont="1" applyNumberFormat="1">
      <alignment horizontal="center" readingOrder="0" shrinkToFit="0" vertical="bottom" wrapText="0"/>
    </xf>
    <xf borderId="6" fillId="4" fontId="6" numFmtId="0" xfId="0" applyAlignment="1" applyBorder="1" applyFill="1" applyFont="1">
      <alignment horizontal="center" readingOrder="0" shrinkToFit="0" vertical="bottom" wrapText="0"/>
    </xf>
    <xf borderId="4" fillId="2" fontId="5" numFmtId="164" xfId="0" applyAlignment="1" applyBorder="1" applyFill="1" applyFont="1" applyNumberFormat="1">
      <alignment horizontal="center" readingOrder="0" shrinkToFit="0" vertical="bottom" wrapText="0"/>
    </xf>
    <xf borderId="5" fillId="2" fontId="5" numFmtId="164" xfId="0" applyAlignment="1" applyBorder="1" applyFill="1" applyFont="1" applyNumberFormat="1">
      <alignment horizontal="center" readingOrder="0" shrinkToFit="0" vertical="bottom" wrapText="0"/>
    </xf>
    <xf borderId="6" fillId="2" fontId="6" numFmtId="0" xfId="0" applyAlignment="1" applyBorder="1" applyFill="1" applyFont="1">
      <alignment horizontal="center" readingOrder="0" shrinkToFit="0" vertical="bottom" wrapText="0"/>
    </xf>
    <xf borderId="0" fillId="4" fontId="5" numFmtId="164" xfId="0" applyAlignment="1" applyFill="1" applyFont="1" applyNumberFormat="1">
      <alignment horizontal="center" readingOrder="0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2" fillId="4" fontId="5" numFmtId="164" xfId="0" applyAlignment="1" applyBorder="1" applyFill="1" applyFont="1" applyNumberFormat="1">
      <alignment horizontal="center" readingOrder="0" shrinkToFit="0" vertical="bottom" wrapText="0"/>
    </xf>
    <xf borderId="5" fillId="4" fontId="5" numFmtId="0" xfId="0" applyAlignment="1" applyBorder="1" applyFill="1" applyFont="1">
      <alignment horizontal="center" readingOrder="0" shrinkToFit="0" vertical="bottom" wrapText="0"/>
    </xf>
    <xf borderId="0" fillId="2" fontId="5" numFmtId="164" xfId="0" applyAlignment="1" applyFill="1" applyFont="1" applyNumberForma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3" pivot="0" name="Mon-Fr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-Fr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5"/>
    <col customWidth="1" min="2" max="2" width="25.88"/>
    <col customWidth="1" min="3" max="3" width="18.0"/>
    <col customWidth="1" min="4" max="6" width="18.25"/>
    <col customWidth="1" min="7" max="7" width="20.0"/>
    <col customWidth="1" min="8" max="8" width="24.75"/>
    <col customWidth="1" min="9" max="9" width="16.13"/>
    <col customWidth="1" min="10" max="10" width="18.63"/>
    <col customWidth="1" min="11" max="11" width="26.75"/>
    <col customWidth="1" min="12" max="13" width="20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</row>
    <row r="2">
      <c r="A2" s="4" t="s">
        <v>1</v>
      </c>
      <c r="H2" s="3"/>
      <c r="I2" s="3"/>
      <c r="J2" s="3"/>
      <c r="K2" s="3"/>
      <c r="L2" s="3"/>
      <c r="M2" s="3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</row>
    <row r="4">
      <c r="A4" s="8"/>
      <c r="B4" s="8"/>
      <c r="C4" s="8"/>
      <c r="D4" s="8"/>
      <c r="E4" s="8"/>
      <c r="F4" s="8"/>
      <c r="G4" s="8"/>
      <c r="H4" s="8"/>
      <c r="I4" s="8">
        <v>0.3125</v>
      </c>
      <c r="J4" s="8">
        <v>0.3138888888888889</v>
      </c>
      <c r="K4" s="8">
        <v>0.31527777777777777</v>
      </c>
      <c r="L4" s="8">
        <v>0.31875</v>
      </c>
      <c r="M4" s="10"/>
    </row>
    <row r="5">
      <c r="A5" s="12">
        <v>0.2916666666666667</v>
      </c>
      <c r="B5" s="13">
        <v>0.2951388888888889</v>
      </c>
      <c r="C5" s="13">
        <v>0.2965277777777778</v>
      </c>
      <c r="D5" s="13">
        <v>0.29930555555555555</v>
      </c>
      <c r="E5" s="13">
        <v>0.3013888888888889</v>
      </c>
      <c r="F5" s="13">
        <v>0.3020833333333333</v>
      </c>
      <c r="G5" s="13">
        <v>0.3055555555555556</v>
      </c>
      <c r="H5" s="13">
        <v>0.3090277777777778</v>
      </c>
      <c r="I5" s="13">
        <v>0.3125</v>
      </c>
      <c r="J5" s="13">
        <v>0.3138888888888889</v>
      </c>
      <c r="K5" s="13">
        <v>0.31527777777777777</v>
      </c>
      <c r="L5" s="13">
        <v>0.31875</v>
      </c>
      <c r="M5" s="14"/>
    </row>
    <row r="6">
      <c r="A6" s="15">
        <v>0.3263888888888889</v>
      </c>
      <c r="B6" s="16">
        <v>0.3298611111111111</v>
      </c>
      <c r="C6" s="16">
        <v>0.33125</v>
      </c>
      <c r="D6" s="16">
        <v>0.33402777777777776</v>
      </c>
      <c r="E6" s="16">
        <v>0.33611111111111114</v>
      </c>
      <c r="F6" s="16">
        <v>0.3368055555555556</v>
      </c>
      <c r="G6" s="16">
        <v>0.3402777777777778</v>
      </c>
      <c r="H6" s="16">
        <v>0.34375</v>
      </c>
      <c r="I6" s="16">
        <v>0.3472222222222222</v>
      </c>
      <c r="J6" s="16">
        <v>0.3486111111111111</v>
      </c>
      <c r="K6" s="16">
        <v>0.35</v>
      </c>
      <c r="L6" s="16">
        <v>0.35347222222222224</v>
      </c>
      <c r="M6" s="17"/>
    </row>
    <row r="7">
      <c r="A7" s="18">
        <v>0.3541666666666667</v>
      </c>
      <c r="B7" s="19">
        <v>0.3576388888888889</v>
      </c>
      <c r="C7" s="19">
        <v>0.3590277777777778</v>
      </c>
      <c r="D7" s="19">
        <v>0.36180555555555555</v>
      </c>
      <c r="E7" s="19">
        <v>0.3638888888888889</v>
      </c>
      <c r="F7" s="19">
        <v>0.3645833333333333</v>
      </c>
      <c r="G7" s="19">
        <v>0.3680555555555556</v>
      </c>
      <c r="H7" s="19">
        <v>0.3715277777777778</v>
      </c>
      <c r="I7" s="19">
        <v>0.375</v>
      </c>
      <c r="J7" s="19">
        <v>0.3763888888888889</v>
      </c>
      <c r="K7" s="19">
        <v>0.37777777777777777</v>
      </c>
      <c r="L7" s="19">
        <v>0.38125</v>
      </c>
      <c r="M7" s="20"/>
    </row>
    <row r="8">
      <c r="A8" s="15">
        <v>0.3958333333333333</v>
      </c>
      <c r="B8" s="16">
        <v>0.3993055555555556</v>
      </c>
      <c r="C8" s="16">
        <v>0.40069444444444446</v>
      </c>
      <c r="D8" s="16">
        <v>0.40347222222222223</v>
      </c>
      <c r="E8" s="16">
        <v>0.40555555555555556</v>
      </c>
      <c r="F8" s="16">
        <v>0.40625</v>
      </c>
      <c r="G8" s="16">
        <v>0.4097222222222222</v>
      </c>
      <c r="H8" s="16">
        <v>0.4131944444444444</v>
      </c>
      <c r="I8" s="16">
        <v>0.4166666666666667</v>
      </c>
      <c r="J8" s="16">
        <v>0.41805555555555557</v>
      </c>
      <c r="K8" s="16">
        <v>0.41944444444444445</v>
      </c>
      <c r="L8" s="16">
        <v>0.42291666666666666</v>
      </c>
      <c r="M8" s="17"/>
    </row>
    <row r="9">
      <c r="A9" s="18">
        <v>0.4166666666666667</v>
      </c>
      <c r="B9" s="19">
        <v>0.4201388888888889</v>
      </c>
      <c r="C9" s="19">
        <v>0.4215277777777778</v>
      </c>
      <c r="D9" s="19">
        <v>0.42430555555555555</v>
      </c>
      <c r="E9" s="19">
        <v>0.4263888888888889</v>
      </c>
      <c r="F9" s="19">
        <v>0.4270833333333333</v>
      </c>
      <c r="G9" s="19">
        <v>0.4305555555555556</v>
      </c>
      <c r="H9" s="19">
        <v>0.4340277777777778</v>
      </c>
      <c r="I9" s="19">
        <v>0.4375</v>
      </c>
      <c r="J9" s="19">
        <v>0.4388888888888889</v>
      </c>
      <c r="K9" s="19">
        <v>0.44027777777777777</v>
      </c>
      <c r="L9" s="19">
        <v>0.44375</v>
      </c>
      <c r="M9" s="20"/>
    </row>
    <row r="10">
      <c r="A10" s="15">
        <v>0.4409722222222222</v>
      </c>
      <c r="B10" s="16">
        <v>0.4444444444444444</v>
      </c>
      <c r="C10" s="16">
        <v>0.44583333333333336</v>
      </c>
      <c r="D10" s="16">
        <v>0.4486111111111111</v>
      </c>
      <c r="E10" s="16">
        <v>0.45069444444444445</v>
      </c>
      <c r="F10" s="16">
        <v>0.4513888888888889</v>
      </c>
      <c r="G10" s="16">
        <v>0.4548611111111111</v>
      </c>
      <c r="H10" s="16">
        <v>0.4583333333333333</v>
      </c>
      <c r="I10" s="16">
        <v>0.4618055555555556</v>
      </c>
      <c r="J10" s="16">
        <v>0.46319444444444446</v>
      </c>
      <c r="K10" s="16">
        <v>0.46458333333333335</v>
      </c>
      <c r="L10" s="16">
        <v>0.46805555555555556</v>
      </c>
      <c r="M10" s="17"/>
    </row>
    <row r="11">
      <c r="A11" s="18">
        <v>0.4618055555555556</v>
      </c>
      <c r="B11" s="19">
        <v>0.4652777777777778</v>
      </c>
      <c r="C11" s="19">
        <v>0.4666666666666667</v>
      </c>
      <c r="D11" s="19">
        <v>0.46944444444444444</v>
      </c>
      <c r="E11" s="19">
        <v>0.47152777777777777</v>
      </c>
      <c r="F11" s="19">
        <v>0.4722222222222222</v>
      </c>
      <c r="G11" s="19">
        <v>0.4756944444444444</v>
      </c>
      <c r="H11" s="19">
        <v>0.4791666666666667</v>
      </c>
      <c r="I11" s="19">
        <v>0.4826388888888889</v>
      </c>
      <c r="J11" s="19">
        <v>0.4840277777777778</v>
      </c>
      <c r="K11" s="19">
        <v>0.48541666666666666</v>
      </c>
      <c r="L11" s="19">
        <v>0.4888888888888889</v>
      </c>
      <c r="M11" s="20"/>
    </row>
    <row r="12">
      <c r="A12" s="15">
        <v>0.4861111111111111</v>
      </c>
      <c r="B12" s="16">
        <v>0.4895833333333333</v>
      </c>
      <c r="C12" s="16">
        <v>0.4909722222222222</v>
      </c>
      <c r="D12" s="16">
        <v>0.49375</v>
      </c>
      <c r="E12" s="16">
        <v>0.49583333333333335</v>
      </c>
      <c r="F12" s="16">
        <v>0.4965277777777778</v>
      </c>
      <c r="G12" s="16">
        <v>0.5</v>
      </c>
      <c r="H12" s="16">
        <v>0.5034722222222222</v>
      </c>
      <c r="I12" s="16">
        <v>0.5069444444444444</v>
      </c>
      <c r="J12" s="16">
        <v>0.5083333333333333</v>
      </c>
      <c r="K12" s="16">
        <v>0.5097222222222222</v>
      </c>
      <c r="L12" s="16">
        <v>0.5131944444444444</v>
      </c>
      <c r="M12" s="17"/>
    </row>
    <row r="13">
      <c r="A13" s="18">
        <v>0.5069444444444444</v>
      </c>
      <c r="B13" s="19">
        <v>0.5104166666666666</v>
      </c>
      <c r="C13" s="19">
        <v>0.5118055555555555</v>
      </c>
      <c r="D13" s="19">
        <v>0.5145833333333333</v>
      </c>
      <c r="E13" s="19">
        <v>0.5166666666666667</v>
      </c>
      <c r="F13" s="19">
        <v>0.5173611111111112</v>
      </c>
      <c r="G13" s="19">
        <v>0.5208333333333334</v>
      </c>
      <c r="H13" s="19">
        <v>0.5243055555555556</v>
      </c>
      <c r="I13" s="19">
        <v>0.5277777777777778</v>
      </c>
      <c r="J13" s="19">
        <v>0.5291666666666667</v>
      </c>
      <c r="K13" s="19">
        <v>0.5305555555555556</v>
      </c>
      <c r="L13" s="19">
        <v>0.5340277777777778</v>
      </c>
      <c r="M13" s="20"/>
    </row>
    <row r="14">
      <c r="A14" s="15">
        <v>0.5347222222222222</v>
      </c>
      <c r="B14" s="16">
        <v>0.5381944444444444</v>
      </c>
      <c r="C14" s="16">
        <v>0.5395833333333333</v>
      </c>
      <c r="D14" s="16">
        <v>0.5423611111111111</v>
      </c>
      <c r="E14" s="16">
        <v>0.5444444444444444</v>
      </c>
      <c r="F14" s="16">
        <v>0.5451388888888888</v>
      </c>
      <c r="G14" s="16">
        <v>0.5486111111111112</v>
      </c>
      <c r="H14" s="16">
        <v>0.5520833333333334</v>
      </c>
      <c r="I14" s="16">
        <v>0.5555555555555556</v>
      </c>
      <c r="J14" s="16">
        <v>0.5569444444444445</v>
      </c>
      <c r="K14" s="16">
        <v>0.5583333333333333</v>
      </c>
      <c r="L14" s="16">
        <v>0.5618055555555556</v>
      </c>
      <c r="M14" s="17"/>
    </row>
    <row r="15">
      <c r="A15" s="18">
        <v>0.5520833333333334</v>
      </c>
      <c r="B15" s="19">
        <v>0.5555555555555556</v>
      </c>
      <c r="C15" s="19">
        <v>0.5569444444444445</v>
      </c>
      <c r="D15" s="19">
        <v>0.5597222222222222</v>
      </c>
      <c r="E15" s="19">
        <v>0.5618055555555556</v>
      </c>
      <c r="F15" s="19">
        <v>0.5625</v>
      </c>
      <c r="G15" s="19">
        <v>0.5659722222222222</v>
      </c>
      <c r="H15" s="19">
        <v>0.5694444444444444</v>
      </c>
      <c r="I15" s="19">
        <v>0.5729166666666666</v>
      </c>
      <c r="J15" s="19">
        <v>0.5743055555555555</v>
      </c>
      <c r="K15" s="19">
        <v>0.5756944444444444</v>
      </c>
      <c r="L15" s="19">
        <v>0.5791666666666667</v>
      </c>
      <c r="M15" s="20"/>
    </row>
    <row r="16">
      <c r="A16" s="15">
        <v>0.5763888888888888</v>
      </c>
      <c r="B16" s="16">
        <v>0.5798611111111112</v>
      </c>
      <c r="C16" s="16">
        <v>0.58125</v>
      </c>
      <c r="D16" s="16">
        <v>0.5840277777777778</v>
      </c>
      <c r="E16" s="16">
        <v>0.5861111111111111</v>
      </c>
      <c r="F16" s="16">
        <v>0.5868055555555556</v>
      </c>
      <c r="G16" s="16">
        <v>0.5902777777777778</v>
      </c>
      <c r="H16" s="16">
        <v>0.59375</v>
      </c>
      <c r="I16" s="16">
        <v>0.5972222222222222</v>
      </c>
      <c r="J16" s="16">
        <v>0.5986111111111111</v>
      </c>
      <c r="K16" s="16">
        <v>0.6</v>
      </c>
      <c r="L16" s="16">
        <v>0.6034722222222222</v>
      </c>
      <c r="M16" s="17"/>
    </row>
    <row r="17">
      <c r="A17" s="18">
        <v>0.59375</v>
      </c>
      <c r="B17" s="19">
        <v>0.5972222222222222</v>
      </c>
      <c r="C17" s="19">
        <v>0.5986111111111111</v>
      </c>
      <c r="D17" s="19">
        <v>0.6013888888888889</v>
      </c>
      <c r="E17" s="19">
        <v>0.6034722222222222</v>
      </c>
      <c r="F17" s="19">
        <v>0.6041666666666666</v>
      </c>
      <c r="G17" s="19">
        <v>0.6076388888888888</v>
      </c>
      <c r="H17" s="19">
        <v>0.6111111111111112</v>
      </c>
      <c r="I17" s="19">
        <v>0.6145833333333334</v>
      </c>
      <c r="J17" s="19">
        <v>0.6159722222222223</v>
      </c>
      <c r="K17" s="19">
        <v>0.6173611111111111</v>
      </c>
      <c r="L17" s="19">
        <v>0.6208333333333333</v>
      </c>
      <c r="M17" s="20"/>
    </row>
    <row r="18">
      <c r="A18" s="15">
        <v>0.6215277777777778</v>
      </c>
      <c r="B18" s="16">
        <v>0.625</v>
      </c>
      <c r="C18" s="16">
        <v>0.6263888888888889</v>
      </c>
      <c r="D18" s="16">
        <v>0.6291666666666667</v>
      </c>
      <c r="E18" s="16">
        <v>0.63125</v>
      </c>
      <c r="F18" s="16">
        <v>0.6319444444444444</v>
      </c>
      <c r="G18" s="16">
        <v>0.6354166666666666</v>
      </c>
      <c r="H18" s="16">
        <v>0.6388888888888888</v>
      </c>
      <c r="I18" s="16">
        <v>0.6423611111111112</v>
      </c>
      <c r="J18" s="16">
        <v>0.64375</v>
      </c>
      <c r="K18" s="16">
        <v>0.6451388888888889</v>
      </c>
      <c r="L18" s="16">
        <v>0.6486111111111111</v>
      </c>
      <c r="M18" s="17"/>
    </row>
    <row r="19">
      <c r="A19" s="18">
        <v>0.6388888888888888</v>
      </c>
      <c r="B19" s="19">
        <v>0.6423611111111112</v>
      </c>
      <c r="C19" s="19">
        <v>0.64375</v>
      </c>
      <c r="D19" s="19">
        <v>0.6465277777777778</v>
      </c>
      <c r="E19" s="19">
        <v>0.6486111111111111</v>
      </c>
      <c r="F19" s="19">
        <v>0.6493055555555556</v>
      </c>
      <c r="G19" s="19">
        <v>0.6527777777777778</v>
      </c>
      <c r="H19" s="19">
        <v>0.65625</v>
      </c>
      <c r="I19" s="19">
        <v>0.6597222222222222</v>
      </c>
      <c r="J19" s="19">
        <v>0.6611111111111111</v>
      </c>
      <c r="K19" s="19">
        <v>0.6625</v>
      </c>
      <c r="L19" s="19">
        <v>0.6659722222222222</v>
      </c>
      <c r="M19" s="20"/>
    </row>
    <row r="20">
      <c r="A20" s="15">
        <v>0.6666666666666666</v>
      </c>
      <c r="B20" s="16">
        <v>0.6701388888888888</v>
      </c>
      <c r="C20" s="16">
        <v>0.6715277777777777</v>
      </c>
      <c r="D20" s="16">
        <v>0.6743055555555556</v>
      </c>
      <c r="E20" s="16">
        <v>0.6763888888888889</v>
      </c>
      <c r="F20" s="16">
        <v>0.6770833333333334</v>
      </c>
      <c r="G20" s="16">
        <v>0.6805555555555556</v>
      </c>
      <c r="H20" s="16">
        <v>0.6840277777777778</v>
      </c>
      <c r="I20" s="16">
        <v>0.6875</v>
      </c>
      <c r="J20" s="16">
        <v>0.6888888888888889</v>
      </c>
      <c r="K20" s="16">
        <v>0.6902777777777778</v>
      </c>
      <c r="L20" s="16">
        <v>0.69375</v>
      </c>
      <c r="M20" s="17"/>
    </row>
    <row r="21">
      <c r="A21" s="18">
        <v>0.6875</v>
      </c>
      <c r="B21" s="19">
        <v>0.6909722222222222</v>
      </c>
      <c r="C21" s="19">
        <v>0.6923611111111111</v>
      </c>
      <c r="D21" s="19">
        <v>0.6951388888888889</v>
      </c>
      <c r="E21" s="19">
        <v>0.6972222222222222</v>
      </c>
      <c r="F21" s="19">
        <v>0.6979166666666666</v>
      </c>
      <c r="G21" s="19">
        <v>0.7013888888888888</v>
      </c>
      <c r="H21" s="19">
        <v>0.7048611111111112</v>
      </c>
      <c r="I21" s="19">
        <v>0.7083333333333334</v>
      </c>
      <c r="J21" s="19">
        <v>0.7097222222222223</v>
      </c>
      <c r="K21" s="19">
        <v>0.7111111111111111</v>
      </c>
      <c r="L21" s="19">
        <v>0.7145833333333333</v>
      </c>
      <c r="M21" s="20"/>
    </row>
    <row r="22">
      <c r="A22" s="15">
        <v>0.7118055555555556</v>
      </c>
      <c r="B22" s="16">
        <v>0.7152777777777778</v>
      </c>
      <c r="C22" s="16">
        <v>0.7166666666666667</v>
      </c>
      <c r="D22" s="16">
        <v>0.7194444444444444</v>
      </c>
      <c r="E22" s="16">
        <v>0.7215277777777778</v>
      </c>
      <c r="F22" s="16">
        <v>0.7222222222222222</v>
      </c>
      <c r="G22" s="16">
        <v>0.7256944444444444</v>
      </c>
      <c r="H22" s="16">
        <v>0.7291666666666666</v>
      </c>
      <c r="I22" s="16">
        <v>0.7326388888888888</v>
      </c>
      <c r="J22" s="16">
        <v>0.7340277777777777</v>
      </c>
      <c r="K22" s="16">
        <v>0.7354166666666667</v>
      </c>
      <c r="L22" s="16">
        <v>0.7388888888888889</v>
      </c>
      <c r="M22" s="17"/>
    </row>
    <row r="23">
      <c r="A23" s="18">
        <v>0.7326388888888888</v>
      </c>
      <c r="B23" s="19">
        <v>0.7361111111111112</v>
      </c>
      <c r="C23" s="19">
        <v>0.7375</v>
      </c>
      <c r="D23" s="19">
        <v>0.7402777777777778</v>
      </c>
      <c r="E23" s="19">
        <v>0.7423611111111111</v>
      </c>
      <c r="F23" s="19">
        <v>0.7430555555555556</v>
      </c>
      <c r="G23" s="19">
        <v>0.7465277777777778</v>
      </c>
      <c r="H23" s="19">
        <v>0.75</v>
      </c>
      <c r="I23" s="19">
        <v>0.7534722222222222</v>
      </c>
      <c r="J23" s="19">
        <v>0.7548611111111111</v>
      </c>
      <c r="K23" s="19">
        <v>0.75625</v>
      </c>
      <c r="L23" s="19">
        <v>0.7597222222222222</v>
      </c>
      <c r="M23" s="20"/>
    </row>
    <row r="24">
      <c r="A24" s="15">
        <v>0.7569444444444444</v>
      </c>
      <c r="B24" s="16">
        <v>0.7604166666666666</v>
      </c>
      <c r="C24" s="16">
        <v>0.7618055555555555</v>
      </c>
      <c r="D24" s="16">
        <v>0.7645833333333333</v>
      </c>
      <c r="E24" s="16">
        <v>0.7666666666666667</v>
      </c>
      <c r="F24" s="16">
        <v>0.7673611111111112</v>
      </c>
      <c r="G24" s="16">
        <v>0.7708333333333334</v>
      </c>
      <c r="H24" s="16">
        <v>0.7743055555555556</v>
      </c>
      <c r="I24" s="16">
        <v>0.7777777777777778</v>
      </c>
      <c r="J24" s="16">
        <v>0.7791666666666667</v>
      </c>
      <c r="K24" s="16">
        <v>0.7805555555555556</v>
      </c>
      <c r="L24" s="16">
        <v>0.7840277777777778</v>
      </c>
      <c r="M24" s="17"/>
    </row>
    <row r="25">
      <c r="A25" s="18">
        <v>0.7708333333333334</v>
      </c>
      <c r="B25" s="19">
        <v>0.7743055555555556</v>
      </c>
      <c r="C25" s="19">
        <v>0.7756944444444445</v>
      </c>
      <c r="D25" s="19">
        <v>0.7784722222222222</v>
      </c>
      <c r="E25" s="19">
        <v>0.7805555555555556</v>
      </c>
      <c r="F25" s="19">
        <v>0.78125</v>
      </c>
      <c r="G25" s="19">
        <v>0.7847222222222222</v>
      </c>
      <c r="H25" s="19">
        <v>0.7881944444444444</v>
      </c>
      <c r="I25" s="19">
        <v>0.7916666666666666</v>
      </c>
      <c r="J25" s="19">
        <v>0.7930555555555555</v>
      </c>
      <c r="K25" s="19">
        <v>0.7944444444444444</v>
      </c>
      <c r="L25" s="19">
        <v>0.7979166666666667</v>
      </c>
      <c r="M25" s="20"/>
    </row>
    <row r="26">
      <c r="A26" s="15">
        <v>0.7847222222222222</v>
      </c>
      <c r="B26" s="16">
        <v>0.7881944444444444</v>
      </c>
      <c r="C26" s="16">
        <v>0.7895833333333333</v>
      </c>
      <c r="D26" s="16">
        <v>0.7923611111111111</v>
      </c>
      <c r="E26" s="16">
        <v>0.7944444444444444</v>
      </c>
      <c r="F26" s="16">
        <v>0.7951388888888888</v>
      </c>
      <c r="G26" s="16">
        <v>0.7986111111111112</v>
      </c>
      <c r="H26" s="16">
        <v>0.8020833333333334</v>
      </c>
      <c r="I26" s="16">
        <v>0.8055555555555556</v>
      </c>
      <c r="J26" s="16">
        <v>0.8069444444444445</v>
      </c>
      <c r="K26" s="16">
        <v>0.8083333333333333</v>
      </c>
      <c r="L26" s="16">
        <v>0.8118055555555556</v>
      </c>
      <c r="M26" s="17"/>
    </row>
    <row r="27">
      <c r="A27" s="18">
        <v>0.8125</v>
      </c>
      <c r="B27" s="19">
        <v>0.8159722222222222</v>
      </c>
      <c r="C27" s="19">
        <v>0.8173611111111111</v>
      </c>
      <c r="D27" s="19">
        <v>0.8201388888888889</v>
      </c>
      <c r="E27" s="19">
        <v>0.8222222222222222</v>
      </c>
      <c r="F27" s="19">
        <v>0.8229166666666666</v>
      </c>
      <c r="G27" s="19">
        <v>0.8263888888888888</v>
      </c>
      <c r="H27" s="19">
        <v>0.8298611111111112</v>
      </c>
      <c r="I27" s="19">
        <v>0.8333333333333334</v>
      </c>
      <c r="J27" s="19">
        <v>0.8347222222222223</v>
      </c>
      <c r="K27" s="19">
        <v>0.8361111111111111</v>
      </c>
      <c r="L27" s="19">
        <v>0.8395833333333333</v>
      </c>
      <c r="M27" s="20"/>
    </row>
    <row r="28">
      <c r="A28" s="15">
        <v>0.8263888888888888</v>
      </c>
      <c r="B28" s="16">
        <v>0.8298611111111112</v>
      </c>
      <c r="C28" s="16">
        <v>0.83125</v>
      </c>
      <c r="D28" s="16">
        <v>0.8340277777777778</v>
      </c>
      <c r="E28" s="16">
        <v>0.8361111111111111</v>
      </c>
      <c r="F28" s="16">
        <v>0.8368055555555556</v>
      </c>
      <c r="G28" s="16">
        <v>0.8402777777777778</v>
      </c>
      <c r="H28" s="16">
        <v>0.84375</v>
      </c>
      <c r="I28" s="16">
        <v>0.8472222222222222</v>
      </c>
      <c r="J28" s="16">
        <v>0.8486111111111111</v>
      </c>
      <c r="K28" s="16">
        <v>0.85</v>
      </c>
      <c r="L28" s="16">
        <v>0.8534722222222222</v>
      </c>
      <c r="M28" s="17"/>
    </row>
    <row r="29">
      <c r="A29" s="18">
        <v>0.8541666666666666</v>
      </c>
      <c r="B29" s="19">
        <v>0.8576388888888888</v>
      </c>
      <c r="C29" s="19">
        <v>0.8590277777777777</v>
      </c>
      <c r="D29" s="19">
        <v>0.8618055555555556</v>
      </c>
      <c r="E29" s="19">
        <v>0.8638888888888889</v>
      </c>
      <c r="F29" s="19">
        <v>0.8645833333333334</v>
      </c>
      <c r="G29" s="19">
        <v>0.8680555555555556</v>
      </c>
      <c r="H29" s="19">
        <v>0.8715277777777778</v>
      </c>
      <c r="I29" s="19">
        <v>0.875</v>
      </c>
      <c r="J29" s="19">
        <v>0.8763888888888889</v>
      </c>
      <c r="K29" s="19">
        <v>0.8777777777777778</v>
      </c>
      <c r="L29" s="19">
        <v>0.88125</v>
      </c>
      <c r="M29" s="20"/>
    </row>
    <row r="30">
      <c r="A30" s="15">
        <v>0.8680555555555556</v>
      </c>
      <c r="B30" s="16">
        <v>0.8715277777777778</v>
      </c>
      <c r="C30" s="16">
        <v>0.8729166666666667</v>
      </c>
      <c r="D30" s="16">
        <v>0.8756944444444444</v>
      </c>
      <c r="E30" s="16">
        <v>0.8777777777777778</v>
      </c>
      <c r="F30" s="16">
        <v>0.8784722222222222</v>
      </c>
      <c r="G30" s="16">
        <v>0.8819444444444444</v>
      </c>
      <c r="H30" s="16">
        <v>0.8854166666666666</v>
      </c>
      <c r="I30" s="16">
        <v>0.8888888888888888</v>
      </c>
      <c r="J30" s="16">
        <v>0.8902777777777777</v>
      </c>
      <c r="K30" s="16">
        <v>0.8916666666666667</v>
      </c>
      <c r="L30" s="16">
        <v>0.8951388888888889</v>
      </c>
      <c r="M30" s="17"/>
    </row>
    <row r="31">
      <c r="A31" s="18">
        <v>0.8888888888888888</v>
      </c>
      <c r="B31" s="19">
        <v>0.8923611111111112</v>
      </c>
      <c r="C31" s="19">
        <v>0.89375</v>
      </c>
      <c r="D31" s="19">
        <v>0.8965277777777778</v>
      </c>
      <c r="E31" s="19">
        <v>0.8986111111111111</v>
      </c>
      <c r="F31" s="19">
        <v>0.8993055555555556</v>
      </c>
      <c r="G31" s="19">
        <v>0.9027777777777778</v>
      </c>
      <c r="H31" s="19">
        <v>0.90625</v>
      </c>
      <c r="I31" s="19">
        <v>0.9097222222222222</v>
      </c>
      <c r="J31" s="19">
        <v>0.9111111111111111</v>
      </c>
      <c r="K31" s="19">
        <v>0.9125</v>
      </c>
      <c r="L31" s="19">
        <v>0.9159722222222222</v>
      </c>
      <c r="M31" s="20"/>
    </row>
    <row r="32">
      <c r="A32" s="15">
        <v>0.9027777777777778</v>
      </c>
      <c r="B32" s="16">
        <v>0.90625</v>
      </c>
      <c r="C32" s="16">
        <v>0.9076388888888889</v>
      </c>
      <c r="D32" s="16">
        <v>0.9104166666666667</v>
      </c>
      <c r="E32" s="16">
        <v>0.9125</v>
      </c>
      <c r="F32" s="16">
        <v>0.9131944444444444</v>
      </c>
      <c r="G32" s="16">
        <v>0.9166666666666666</v>
      </c>
      <c r="H32" s="16">
        <v>0.9201388888888888</v>
      </c>
      <c r="I32" s="16">
        <v>0.9236111111111112</v>
      </c>
      <c r="J32" s="16">
        <v>0.925</v>
      </c>
      <c r="K32" s="16">
        <v>0.9263888888888889</v>
      </c>
      <c r="L32" s="16">
        <v>0.9298611111111111</v>
      </c>
      <c r="M32" s="17"/>
    </row>
    <row r="33">
      <c r="A33" s="18">
        <v>0.9305555555555556</v>
      </c>
      <c r="B33" s="19">
        <v>0.9340277777777778</v>
      </c>
      <c r="C33" s="19">
        <v>0.9354166666666667</v>
      </c>
      <c r="D33" s="19">
        <v>0.9381944444444444</v>
      </c>
      <c r="E33" s="19">
        <v>0.9402777777777778</v>
      </c>
      <c r="F33" s="19">
        <v>0.9409722222222222</v>
      </c>
      <c r="G33" s="19">
        <v>0.9444444444444444</v>
      </c>
      <c r="H33" s="19">
        <v>0.9479166666666666</v>
      </c>
      <c r="I33" s="19">
        <v>0.9513888888888888</v>
      </c>
      <c r="J33" s="19">
        <v>0.9527777777777777</v>
      </c>
      <c r="K33" s="19">
        <v>0.9541666666666667</v>
      </c>
      <c r="L33" s="19">
        <v>0.9576388888888889</v>
      </c>
      <c r="M33" s="20"/>
    </row>
    <row r="34">
      <c r="A34" s="8">
        <v>0.9722222222222222</v>
      </c>
      <c r="B34" s="23">
        <v>0.9756944444444444</v>
      </c>
      <c r="C34" s="23">
        <v>0.9770833333333333</v>
      </c>
      <c r="D34" s="23">
        <v>0.9798611111111111</v>
      </c>
      <c r="E34" s="23">
        <v>0.9819444444444444</v>
      </c>
      <c r="F34" s="23">
        <v>0.9826388888888888</v>
      </c>
      <c r="G34" s="23">
        <v>0.9861111111111112</v>
      </c>
      <c r="H34" s="23">
        <v>0.9895833333333334</v>
      </c>
      <c r="I34" s="23">
        <v>0.9930555555555556</v>
      </c>
      <c r="J34" s="24" t="s">
        <v>19</v>
      </c>
      <c r="K34" s="24" t="s">
        <v>19</v>
      </c>
      <c r="L34" s="24" t="s">
        <v>19</v>
      </c>
      <c r="M34" s="10"/>
    </row>
  </sheetData>
  <mergeCells count="1">
    <mergeCell ref="A2:G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5.25"/>
    <col customWidth="1" min="3" max="3" width="18.0"/>
    <col customWidth="1" min="4" max="6" width="18.25"/>
    <col customWidth="1" min="7" max="7" width="20.0"/>
    <col customWidth="1" min="8" max="8" width="24.13"/>
    <col customWidth="1" min="9" max="9" width="16.13"/>
    <col customWidth="1" min="10" max="10" width="18.63"/>
    <col customWidth="1" min="11" max="11" width="26.25"/>
    <col customWidth="1" min="12" max="12" width="20.63"/>
  </cols>
  <sheetData>
    <row r="1">
      <c r="A1" s="3" t="s">
        <v>2</v>
      </c>
      <c r="B1" s="3"/>
      <c r="C1" s="3"/>
      <c r="D1" s="3"/>
      <c r="E1" s="6"/>
      <c r="F1" s="6"/>
      <c r="G1" s="6"/>
      <c r="H1" s="6"/>
      <c r="I1" s="7"/>
      <c r="J1" s="6"/>
      <c r="K1" s="6"/>
      <c r="L1" s="6"/>
    </row>
    <row r="2">
      <c r="A2" s="9" t="s">
        <v>16</v>
      </c>
      <c r="B2" s="9" t="s">
        <v>17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5" t="s">
        <v>11</v>
      </c>
      <c r="J2" s="9" t="s">
        <v>12</v>
      </c>
      <c r="K2" s="9" t="s">
        <v>18</v>
      </c>
      <c r="L2" s="9" t="s">
        <v>14</v>
      </c>
    </row>
    <row r="3">
      <c r="A3" s="11">
        <v>0.2951388888888889</v>
      </c>
      <c r="B3" s="11">
        <f t="shared" ref="B3:B5" si="3">A3+time(0,6,0)</f>
        <v>0.2993055556</v>
      </c>
      <c r="C3" s="11">
        <f t="shared" ref="C3:C5" si="4">B3+time(0,1,0)</f>
        <v>0.3</v>
      </c>
      <c r="D3" s="11">
        <f t="shared" ref="D3:E3" si="1">C3+time(0,3,0)</f>
        <v>0.3020833333</v>
      </c>
      <c r="E3" s="11">
        <f t="shared" si="1"/>
        <v>0.3041666667</v>
      </c>
      <c r="F3" s="11">
        <f t="shared" ref="F3:F5" si="6">E3+time(0,1,0)</f>
        <v>0.3048611111</v>
      </c>
      <c r="G3" s="11">
        <f t="shared" ref="G3:I3" si="2">F3+time(0,5,0)</f>
        <v>0.3083333333</v>
      </c>
      <c r="H3" s="11">
        <f t="shared" si="2"/>
        <v>0.3118055556</v>
      </c>
      <c r="I3" s="11">
        <f t="shared" si="2"/>
        <v>0.3152777778</v>
      </c>
      <c r="J3" s="11">
        <f t="shared" ref="J3:J26" si="8">I3+time(0,2,0)</f>
        <v>0.3166666667</v>
      </c>
      <c r="K3" s="11">
        <f t="shared" ref="K3:K26" si="9">J3+time(0,3,0)</f>
        <v>0.31875</v>
      </c>
      <c r="L3" s="11">
        <f t="shared" ref="L3:L26" si="10">K3+time(0,5,0)</f>
        <v>0.3222222222</v>
      </c>
    </row>
    <row r="4">
      <c r="A4" s="21">
        <v>0.3402777777777778</v>
      </c>
      <c r="B4" s="21">
        <f t="shared" si="3"/>
        <v>0.3444444444</v>
      </c>
      <c r="C4" s="21">
        <f t="shared" si="4"/>
        <v>0.3451388889</v>
      </c>
      <c r="D4" s="21">
        <f t="shared" ref="D4:E4" si="5">C4+time(0,3,0)</f>
        <v>0.3472222222</v>
      </c>
      <c r="E4" s="21">
        <f t="shared" si="5"/>
        <v>0.3493055556</v>
      </c>
      <c r="F4" s="21">
        <f t="shared" si="6"/>
        <v>0.35</v>
      </c>
      <c r="G4" s="21">
        <f t="shared" ref="G4:I4" si="7">F4+time(0,5,0)</f>
        <v>0.3534722222</v>
      </c>
      <c r="H4" s="21">
        <f t="shared" si="7"/>
        <v>0.3569444444</v>
      </c>
      <c r="I4" s="21">
        <f t="shared" si="7"/>
        <v>0.3604166667</v>
      </c>
      <c r="J4" s="21">
        <f t="shared" si="8"/>
        <v>0.3618055556</v>
      </c>
      <c r="K4" s="21">
        <f t="shared" si="9"/>
        <v>0.3638888889</v>
      </c>
      <c r="L4" s="21">
        <f t="shared" si="10"/>
        <v>0.3673611111</v>
      </c>
    </row>
    <row r="5">
      <c r="A5" s="11">
        <v>0.3541666666666667</v>
      </c>
      <c r="B5" s="11">
        <f t="shared" si="3"/>
        <v>0.3583333333</v>
      </c>
      <c r="C5" s="11">
        <f t="shared" si="4"/>
        <v>0.3590277778</v>
      </c>
      <c r="D5" s="11">
        <f t="shared" ref="D5:E5" si="11">C5+time(0,3,0)</f>
        <v>0.3611111111</v>
      </c>
      <c r="E5" s="11">
        <f t="shared" si="11"/>
        <v>0.3631944444</v>
      </c>
      <c r="F5" s="11">
        <f t="shared" si="6"/>
        <v>0.3638888889</v>
      </c>
      <c r="G5" s="11">
        <f t="shared" ref="G5:I5" si="12">F5+time(0,5,0)</f>
        <v>0.3673611111</v>
      </c>
      <c r="H5" s="11">
        <f t="shared" si="12"/>
        <v>0.3708333333</v>
      </c>
      <c r="I5" s="11">
        <f t="shared" si="12"/>
        <v>0.3743055556</v>
      </c>
      <c r="J5" s="11">
        <f t="shared" si="8"/>
        <v>0.3756944444</v>
      </c>
      <c r="K5" s="11">
        <f t="shared" si="9"/>
        <v>0.3777777778</v>
      </c>
      <c r="L5" s="11">
        <f t="shared" si="10"/>
        <v>0.38125</v>
      </c>
    </row>
    <row r="6">
      <c r="A6" s="22" t="s">
        <v>19</v>
      </c>
      <c r="B6" s="22" t="s">
        <v>19</v>
      </c>
      <c r="C6" s="22" t="s">
        <v>19</v>
      </c>
      <c r="D6" s="22" t="s">
        <v>19</v>
      </c>
      <c r="E6" s="22" t="s">
        <v>19</v>
      </c>
      <c r="F6" s="22" t="s">
        <v>19</v>
      </c>
      <c r="G6" s="22" t="s">
        <v>19</v>
      </c>
      <c r="H6" s="22" t="s">
        <v>19</v>
      </c>
      <c r="I6" s="21">
        <v>0.3784722222222222</v>
      </c>
      <c r="J6" s="21">
        <f t="shared" si="8"/>
        <v>0.3798611111</v>
      </c>
      <c r="K6" s="21">
        <f t="shared" si="9"/>
        <v>0.3819444444</v>
      </c>
      <c r="L6" s="21">
        <f t="shared" si="10"/>
        <v>0.3854166667</v>
      </c>
    </row>
    <row r="7">
      <c r="A7" s="11">
        <v>0.3888888888888889</v>
      </c>
      <c r="B7" s="11">
        <f t="shared" ref="B7:B27" si="15">A7+time(0,6,0)</f>
        <v>0.3930555556</v>
      </c>
      <c r="C7" s="11">
        <f t="shared" ref="C7:C27" si="16">B7+time(0,1,0)</f>
        <v>0.39375</v>
      </c>
      <c r="D7" s="11">
        <f t="shared" ref="D7:E7" si="13">C7+time(0,3,0)</f>
        <v>0.3958333333</v>
      </c>
      <c r="E7" s="11">
        <f t="shared" si="13"/>
        <v>0.3979166667</v>
      </c>
      <c r="F7" s="11">
        <f t="shared" ref="F7:F27" si="18">E7+time(0,1,0)</f>
        <v>0.3986111111</v>
      </c>
      <c r="G7" s="11">
        <f t="shared" ref="G7:I7" si="14">F7+time(0,5,0)</f>
        <v>0.4020833333</v>
      </c>
      <c r="H7" s="11">
        <f t="shared" si="14"/>
        <v>0.4055555556</v>
      </c>
      <c r="I7" s="11">
        <f t="shared" si="14"/>
        <v>0.4090277778</v>
      </c>
      <c r="J7" s="11">
        <f t="shared" si="8"/>
        <v>0.4104166667</v>
      </c>
      <c r="K7" s="11">
        <f t="shared" si="9"/>
        <v>0.4125</v>
      </c>
      <c r="L7" s="11">
        <f t="shared" si="10"/>
        <v>0.4159722222</v>
      </c>
    </row>
    <row r="8">
      <c r="A8" s="21">
        <v>0.4027777777777778</v>
      </c>
      <c r="B8" s="21">
        <f t="shared" si="15"/>
        <v>0.4069444444</v>
      </c>
      <c r="C8" s="21">
        <f t="shared" si="16"/>
        <v>0.4076388889</v>
      </c>
      <c r="D8" s="21">
        <f t="shared" ref="D8:E8" si="17">C8+time(0,3,0)</f>
        <v>0.4097222222</v>
      </c>
      <c r="E8" s="21">
        <f t="shared" si="17"/>
        <v>0.4118055556</v>
      </c>
      <c r="F8" s="21">
        <f t="shared" si="18"/>
        <v>0.4125</v>
      </c>
      <c r="G8" s="21">
        <f t="shared" ref="G8:I8" si="19">F8+time(0,5,0)</f>
        <v>0.4159722222</v>
      </c>
      <c r="H8" s="21">
        <f t="shared" si="19"/>
        <v>0.4194444444</v>
      </c>
      <c r="I8" s="21">
        <f t="shared" si="19"/>
        <v>0.4229166667</v>
      </c>
      <c r="J8" s="21">
        <f t="shared" si="8"/>
        <v>0.4243055556</v>
      </c>
      <c r="K8" s="21">
        <f t="shared" si="9"/>
        <v>0.4263888889</v>
      </c>
      <c r="L8" s="21">
        <f t="shared" si="10"/>
        <v>0.4298611111</v>
      </c>
    </row>
    <row r="9">
      <c r="A9" s="11">
        <v>0.4236111111111111</v>
      </c>
      <c r="B9" s="11">
        <f t="shared" si="15"/>
        <v>0.4277777778</v>
      </c>
      <c r="C9" s="11">
        <f t="shared" si="16"/>
        <v>0.4284722222</v>
      </c>
      <c r="D9" s="11">
        <f t="shared" ref="D9:E9" si="20">C9+time(0,3,0)</f>
        <v>0.4305555556</v>
      </c>
      <c r="E9" s="11">
        <f t="shared" si="20"/>
        <v>0.4326388889</v>
      </c>
      <c r="F9" s="11">
        <f t="shared" si="18"/>
        <v>0.4333333333</v>
      </c>
      <c r="G9" s="11">
        <f t="shared" ref="G9:I9" si="21">F9+time(0,5,0)</f>
        <v>0.4368055556</v>
      </c>
      <c r="H9" s="11">
        <f t="shared" si="21"/>
        <v>0.4402777778</v>
      </c>
      <c r="I9" s="11">
        <f t="shared" si="21"/>
        <v>0.44375</v>
      </c>
      <c r="J9" s="11">
        <f t="shared" si="8"/>
        <v>0.4451388889</v>
      </c>
      <c r="K9" s="11">
        <f t="shared" si="9"/>
        <v>0.4472222222</v>
      </c>
      <c r="L9" s="11">
        <f t="shared" si="10"/>
        <v>0.4506944444</v>
      </c>
    </row>
    <row r="10">
      <c r="A10" s="21">
        <v>0.4444444444444444</v>
      </c>
      <c r="B10" s="21">
        <f t="shared" si="15"/>
        <v>0.4486111111</v>
      </c>
      <c r="C10" s="21">
        <f t="shared" si="16"/>
        <v>0.4493055556</v>
      </c>
      <c r="D10" s="21">
        <f t="shared" ref="D10:E10" si="22">C10+time(0,3,0)</f>
        <v>0.4513888889</v>
      </c>
      <c r="E10" s="21">
        <f t="shared" si="22"/>
        <v>0.4534722222</v>
      </c>
      <c r="F10" s="21">
        <f t="shared" si="18"/>
        <v>0.4541666667</v>
      </c>
      <c r="G10" s="21">
        <f t="shared" ref="G10:I10" si="23">F10+time(0,5,0)</f>
        <v>0.4576388889</v>
      </c>
      <c r="H10" s="21">
        <f t="shared" si="23"/>
        <v>0.4611111111</v>
      </c>
      <c r="I10" s="21">
        <f t="shared" si="23"/>
        <v>0.4645833333</v>
      </c>
      <c r="J10" s="21">
        <f t="shared" si="8"/>
        <v>0.4659722222</v>
      </c>
      <c r="K10" s="21">
        <f t="shared" si="9"/>
        <v>0.4680555556</v>
      </c>
      <c r="L10" s="21">
        <f t="shared" si="10"/>
        <v>0.4715277778</v>
      </c>
    </row>
    <row r="11">
      <c r="A11" s="11">
        <v>0.4618055555555556</v>
      </c>
      <c r="B11" s="11">
        <f t="shared" si="15"/>
        <v>0.4659722222</v>
      </c>
      <c r="C11" s="11">
        <f t="shared" si="16"/>
        <v>0.4666666667</v>
      </c>
      <c r="D11" s="11">
        <f t="shared" ref="D11:E11" si="24">C11+time(0,3,0)</f>
        <v>0.46875</v>
      </c>
      <c r="E11" s="11">
        <f t="shared" si="24"/>
        <v>0.4708333333</v>
      </c>
      <c r="F11" s="11">
        <f t="shared" si="18"/>
        <v>0.4715277778</v>
      </c>
      <c r="G11" s="11">
        <f t="shared" ref="G11:I11" si="25">F11+time(0,5,0)</f>
        <v>0.475</v>
      </c>
      <c r="H11" s="11">
        <f t="shared" si="25"/>
        <v>0.4784722222</v>
      </c>
      <c r="I11" s="11">
        <f t="shared" si="25"/>
        <v>0.4819444444</v>
      </c>
      <c r="J11" s="11">
        <f t="shared" si="8"/>
        <v>0.4833333333</v>
      </c>
      <c r="K11" s="11">
        <f t="shared" si="9"/>
        <v>0.4854166667</v>
      </c>
      <c r="L11" s="11">
        <f t="shared" si="10"/>
        <v>0.4888888889</v>
      </c>
    </row>
    <row r="12">
      <c r="A12" s="21">
        <v>0.4826388888888889</v>
      </c>
      <c r="B12" s="21">
        <f t="shared" si="15"/>
        <v>0.4868055556</v>
      </c>
      <c r="C12" s="21">
        <f t="shared" si="16"/>
        <v>0.4875</v>
      </c>
      <c r="D12" s="21">
        <f t="shared" ref="D12:E12" si="26">C12+time(0,3,0)</f>
        <v>0.4895833333</v>
      </c>
      <c r="E12" s="21">
        <f t="shared" si="26"/>
        <v>0.4916666667</v>
      </c>
      <c r="F12" s="21">
        <f t="shared" si="18"/>
        <v>0.4923611111</v>
      </c>
      <c r="G12" s="21">
        <f t="shared" ref="G12:I12" si="27">F12+time(0,5,0)</f>
        <v>0.4958333333</v>
      </c>
      <c r="H12" s="21">
        <f t="shared" si="27"/>
        <v>0.4993055556</v>
      </c>
      <c r="I12" s="21">
        <f t="shared" si="27"/>
        <v>0.5027777778</v>
      </c>
      <c r="J12" s="21">
        <f t="shared" si="8"/>
        <v>0.5041666667</v>
      </c>
      <c r="K12" s="21">
        <f t="shared" si="9"/>
        <v>0.50625</v>
      </c>
      <c r="L12" s="21">
        <f t="shared" si="10"/>
        <v>0.5097222222</v>
      </c>
    </row>
    <row r="13">
      <c r="A13" s="11">
        <v>0.5451388888888888</v>
      </c>
      <c r="B13" s="11">
        <f t="shared" si="15"/>
        <v>0.5493055556</v>
      </c>
      <c r="C13" s="11">
        <f t="shared" si="16"/>
        <v>0.55</v>
      </c>
      <c r="D13" s="11">
        <f t="shared" ref="D13:E13" si="28">C13+time(0,3,0)</f>
        <v>0.5520833333</v>
      </c>
      <c r="E13" s="11">
        <f t="shared" si="28"/>
        <v>0.5541666667</v>
      </c>
      <c r="F13" s="11">
        <f t="shared" si="18"/>
        <v>0.5548611111</v>
      </c>
      <c r="G13" s="11">
        <f t="shared" ref="G13:I13" si="29">F13+time(0,5,0)</f>
        <v>0.5583333333</v>
      </c>
      <c r="H13" s="11">
        <f t="shared" si="29"/>
        <v>0.5618055556</v>
      </c>
      <c r="I13" s="11">
        <f t="shared" si="29"/>
        <v>0.5652777778</v>
      </c>
      <c r="J13" s="11">
        <f t="shared" si="8"/>
        <v>0.5666666667</v>
      </c>
      <c r="K13" s="11">
        <f t="shared" si="9"/>
        <v>0.56875</v>
      </c>
      <c r="L13" s="11">
        <f t="shared" si="10"/>
        <v>0.5722222222</v>
      </c>
    </row>
    <row r="14">
      <c r="A14" s="21">
        <v>0.5902777777777778</v>
      </c>
      <c r="B14" s="21">
        <f t="shared" si="15"/>
        <v>0.5944444444</v>
      </c>
      <c r="C14" s="21">
        <f t="shared" si="16"/>
        <v>0.5951388889</v>
      </c>
      <c r="D14" s="21">
        <f t="shared" ref="D14:E14" si="30">C14+time(0,3,0)</f>
        <v>0.5972222222</v>
      </c>
      <c r="E14" s="21">
        <f t="shared" si="30"/>
        <v>0.5993055556</v>
      </c>
      <c r="F14" s="21">
        <f t="shared" si="18"/>
        <v>0.6</v>
      </c>
      <c r="G14" s="21">
        <f t="shared" ref="G14:I14" si="31">F14+time(0,5,0)</f>
        <v>0.6034722222</v>
      </c>
      <c r="H14" s="21">
        <f t="shared" si="31"/>
        <v>0.6069444444</v>
      </c>
      <c r="I14" s="21">
        <f t="shared" si="31"/>
        <v>0.6104166667</v>
      </c>
      <c r="J14" s="21">
        <f t="shared" si="8"/>
        <v>0.6118055556</v>
      </c>
      <c r="K14" s="21">
        <f t="shared" si="9"/>
        <v>0.6138888889</v>
      </c>
      <c r="L14" s="21">
        <f t="shared" si="10"/>
        <v>0.6173611111</v>
      </c>
    </row>
    <row r="15">
      <c r="A15" s="11">
        <v>0.6423611111111112</v>
      </c>
      <c r="B15" s="11">
        <f t="shared" si="15"/>
        <v>0.6465277778</v>
      </c>
      <c r="C15" s="11">
        <f t="shared" si="16"/>
        <v>0.6472222222</v>
      </c>
      <c r="D15" s="11">
        <f t="shared" ref="D15:E15" si="32">C15+time(0,3,0)</f>
        <v>0.6493055556</v>
      </c>
      <c r="E15" s="11">
        <f t="shared" si="32"/>
        <v>0.6513888889</v>
      </c>
      <c r="F15" s="11">
        <f t="shared" si="18"/>
        <v>0.6520833333</v>
      </c>
      <c r="G15" s="11">
        <f t="shared" ref="G15:I15" si="33">F15+time(0,5,0)</f>
        <v>0.6555555556</v>
      </c>
      <c r="H15" s="11">
        <f t="shared" si="33"/>
        <v>0.6590277778</v>
      </c>
      <c r="I15" s="11">
        <f t="shared" si="33"/>
        <v>0.6625</v>
      </c>
      <c r="J15" s="11">
        <f t="shared" si="8"/>
        <v>0.6638888889</v>
      </c>
      <c r="K15" s="11">
        <f t="shared" si="9"/>
        <v>0.6659722222</v>
      </c>
      <c r="L15" s="11">
        <f t="shared" si="10"/>
        <v>0.6694444444</v>
      </c>
    </row>
    <row r="16">
      <c r="A16" s="21">
        <v>0.6736111111111112</v>
      </c>
      <c r="B16" s="21">
        <f t="shared" si="15"/>
        <v>0.6777777778</v>
      </c>
      <c r="C16" s="21">
        <f t="shared" si="16"/>
        <v>0.6784722222</v>
      </c>
      <c r="D16" s="21">
        <f t="shared" ref="D16:E16" si="34">C16+time(0,3,0)</f>
        <v>0.6805555556</v>
      </c>
      <c r="E16" s="21">
        <f t="shared" si="34"/>
        <v>0.6826388889</v>
      </c>
      <c r="F16" s="21">
        <f t="shared" si="18"/>
        <v>0.6833333333</v>
      </c>
      <c r="G16" s="21">
        <f t="shared" ref="G16:I16" si="35">F16+time(0,5,0)</f>
        <v>0.6868055556</v>
      </c>
      <c r="H16" s="21">
        <f t="shared" si="35"/>
        <v>0.6902777778</v>
      </c>
      <c r="I16" s="21">
        <f t="shared" si="35"/>
        <v>0.69375</v>
      </c>
      <c r="J16" s="21">
        <f t="shared" si="8"/>
        <v>0.6951388889</v>
      </c>
      <c r="K16" s="21">
        <f t="shared" si="9"/>
        <v>0.6972222222</v>
      </c>
      <c r="L16" s="21">
        <f t="shared" si="10"/>
        <v>0.7006944444</v>
      </c>
    </row>
    <row r="17">
      <c r="A17" s="11">
        <v>0.6875</v>
      </c>
      <c r="B17" s="11">
        <f t="shared" si="15"/>
        <v>0.6916666667</v>
      </c>
      <c r="C17" s="11">
        <f t="shared" si="16"/>
        <v>0.6923611111</v>
      </c>
      <c r="D17" s="11">
        <f t="shared" ref="D17:E17" si="36">C17+time(0,3,0)</f>
        <v>0.6944444444</v>
      </c>
      <c r="E17" s="11">
        <f t="shared" si="36"/>
        <v>0.6965277778</v>
      </c>
      <c r="F17" s="11">
        <f t="shared" si="18"/>
        <v>0.6972222222</v>
      </c>
      <c r="G17" s="11">
        <f t="shared" ref="G17:I17" si="37">F17+time(0,5,0)</f>
        <v>0.7006944444</v>
      </c>
      <c r="H17" s="11">
        <f t="shared" si="37"/>
        <v>0.7041666667</v>
      </c>
      <c r="I17" s="11">
        <f t="shared" si="37"/>
        <v>0.7076388889</v>
      </c>
      <c r="J17" s="11">
        <f t="shared" si="8"/>
        <v>0.7090277778</v>
      </c>
      <c r="K17" s="11">
        <f t="shared" si="9"/>
        <v>0.7111111111</v>
      </c>
      <c r="L17" s="11">
        <f t="shared" si="10"/>
        <v>0.7145833333</v>
      </c>
    </row>
    <row r="18">
      <c r="A18" s="21">
        <v>0.7118055555555556</v>
      </c>
      <c r="B18" s="21">
        <f t="shared" si="15"/>
        <v>0.7159722222</v>
      </c>
      <c r="C18" s="21">
        <f t="shared" si="16"/>
        <v>0.7166666667</v>
      </c>
      <c r="D18" s="21">
        <f t="shared" ref="D18:E18" si="38">C18+time(0,3,0)</f>
        <v>0.71875</v>
      </c>
      <c r="E18" s="21">
        <f t="shared" si="38"/>
        <v>0.7208333333</v>
      </c>
      <c r="F18" s="21">
        <f t="shared" si="18"/>
        <v>0.7215277778</v>
      </c>
      <c r="G18" s="21">
        <f t="shared" ref="G18:I18" si="39">F18+time(0,5,0)</f>
        <v>0.725</v>
      </c>
      <c r="H18" s="21">
        <f t="shared" si="39"/>
        <v>0.7284722222</v>
      </c>
      <c r="I18" s="21">
        <f t="shared" si="39"/>
        <v>0.7319444444</v>
      </c>
      <c r="J18" s="21">
        <f t="shared" si="8"/>
        <v>0.7333333333</v>
      </c>
      <c r="K18" s="21">
        <f t="shared" si="9"/>
        <v>0.7354166667</v>
      </c>
      <c r="L18" s="21">
        <f t="shared" si="10"/>
        <v>0.7388888889</v>
      </c>
    </row>
    <row r="19">
      <c r="A19" s="11">
        <v>0.7291666666666666</v>
      </c>
      <c r="B19" s="11">
        <f t="shared" si="15"/>
        <v>0.7333333333</v>
      </c>
      <c r="C19" s="11">
        <f t="shared" si="16"/>
        <v>0.7340277778</v>
      </c>
      <c r="D19" s="11">
        <f t="shared" ref="D19:E19" si="40">C19+time(0,3,0)</f>
        <v>0.7361111111</v>
      </c>
      <c r="E19" s="11">
        <f t="shared" si="40"/>
        <v>0.7381944444</v>
      </c>
      <c r="F19" s="11">
        <f t="shared" si="18"/>
        <v>0.7388888889</v>
      </c>
      <c r="G19" s="11">
        <f t="shared" ref="G19:I19" si="41">F19+time(0,5,0)</f>
        <v>0.7423611111</v>
      </c>
      <c r="H19" s="11">
        <f t="shared" si="41"/>
        <v>0.7458333333</v>
      </c>
      <c r="I19" s="11">
        <f t="shared" si="41"/>
        <v>0.7493055556</v>
      </c>
      <c r="J19" s="11">
        <f t="shared" si="8"/>
        <v>0.7506944444</v>
      </c>
      <c r="K19" s="11">
        <f t="shared" si="9"/>
        <v>0.7527777778</v>
      </c>
      <c r="L19" s="11">
        <f t="shared" si="10"/>
        <v>0.75625</v>
      </c>
    </row>
    <row r="20">
      <c r="A20" s="21">
        <v>0.7638888888888888</v>
      </c>
      <c r="B20" s="21">
        <f t="shared" si="15"/>
        <v>0.7680555556</v>
      </c>
      <c r="C20" s="21">
        <f t="shared" si="16"/>
        <v>0.76875</v>
      </c>
      <c r="D20" s="21">
        <f t="shared" ref="D20:E20" si="42">C20+time(0,3,0)</f>
        <v>0.7708333333</v>
      </c>
      <c r="E20" s="21">
        <f t="shared" si="42"/>
        <v>0.7729166667</v>
      </c>
      <c r="F20" s="21">
        <f t="shared" si="18"/>
        <v>0.7736111111</v>
      </c>
      <c r="G20" s="21">
        <f t="shared" ref="G20:I20" si="43">F20+time(0,5,0)</f>
        <v>0.7770833333</v>
      </c>
      <c r="H20" s="21">
        <f t="shared" si="43"/>
        <v>0.7805555556</v>
      </c>
      <c r="I20" s="21">
        <f t="shared" si="43"/>
        <v>0.7840277778</v>
      </c>
      <c r="J20" s="21">
        <f t="shared" si="8"/>
        <v>0.7854166667</v>
      </c>
      <c r="K20" s="21">
        <f t="shared" si="9"/>
        <v>0.7875</v>
      </c>
      <c r="L20" s="21">
        <f t="shared" si="10"/>
        <v>0.7909722222</v>
      </c>
    </row>
    <row r="21">
      <c r="A21" s="11">
        <v>0.2777777777777778</v>
      </c>
      <c r="B21" s="11">
        <f t="shared" si="15"/>
        <v>0.2819444444</v>
      </c>
      <c r="C21" s="11">
        <f t="shared" si="16"/>
        <v>0.2826388889</v>
      </c>
      <c r="D21" s="11">
        <f t="shared" ref="D21:E21" si="44">C21+time(0,3,0)</f>
        <v>0.2847222222</v>
      </c>
      <c r="E21" s="11">
        <f t="shared" si="44"/>
        <v>0.2868055556</v>
      </c>
      <c r="F21" s="11">
        <f t="shared" si="18"/>
        <v>0.2875</v>
      </c>
      <c r="G21" s="11">
        <f t="shared" ref="G21:I21" si="45">F21+time(0,5,0)</f>
        <v>0.2909722222</v>
      </c>
      <c r="H21" s="11">
        <f t="shared" si="45"/>
        <v>0.2944444444</v>
      </c>
      <c r="I21" s="11">
        <f t="shared" si="45"/>
        <v>0.2979166667</v>
      </c>
      <c r="J21" s="11">
        <f t="shared" si="8"/>
        <v>0.2993055556</v>
      </c>
      <c r="K21" s="11">
        <f t="shared" si="9"/>
        <v>0.3013888889</v>
      </c>
      <c r="L21" s="11">
        <f t="shared" si="10"/>
        <v>0.3048611111</v>
      </c>
    </row>
    <row r="22">
      <c r="A22" s="21">
        <v>0.7986111111111112</v>
      </c>
      <c r="B22" s="21">
        <f t="shared" si="15"/>
        <v>0.8027777778</v>
      </c>
      <c r="C22" s="21">
        <f t="shared" si="16"/>
        <v>0.8034722222</v>
      </c>
      <c r="D22" s="21">
        <f t="shared" ref="D22:E22" si="46">C22+time(0,3,0)</f>
        <v>0.8055555556</v>
      </c>
      <c r="E22" s="21">
        <f t="shared" si="46"/>
        <v>0.8076388889</v>
      </c>
      <c r="F22" s="21">
        <f t="shared" si="18"/>
        <v>0.8083333333</v>
      </c>
      <c r="G22" s="21">
        <f t="shared" ref="G22:I22" si="47">F22+time(0,5,0)</f>
        <v>0.8118055556</v>
      </c>
      <c r="H22" s="21">
        <f t="shared" si="47"/>
        <v>0.8152777778</v>
      </c>
      <c r="I22" s="21">
        <f t="shared" si="47"/>
        <v>0.81875</v>
      </c>
      <c r="J22" s="21">
        <f t="shared" si="8"/>
        <v>0.8201388889</v>
      </c>
      <c r="K22" s="21">
        <f t="shared" si="9"/>
        <v>0.8222222222</v>
      </c>
      <c r="L22" s="21">
        <f t="shared" si="10"/>
        <v>0.8256944444</v>
      </c>
    </row>
    <row r="23">
      <c r="A23" s="11">
        <v>0.8194444444444444</v>
      </c>
      <c r="B23" s="11">
        <f t="shared" si="15"/>
        <v>0.8236111111</v>
      </c>
      <c r="C23" s="11">
        <f t="shared" si="16"/>
        <v>0.8243055556</v>
      </c>
      <c r="D23" s="11">
        <f t="shared" ref="D23:E23" si="48">C23+time(0,3,0)</f>
        <v>0.8263888889</v>
      </c>
      <c r="E23" s="11">
        <f t="shared" si="48"/>
        <v>0.8284722222</v>
      </c>
      <c r="F23" s="11">
        <f t="shared" si="18"/>
        <v>0.8291666667</v>
      </c>
      <c r="G23" s="11">
        <f t="shared" ref="G23:I23" si="49">F23+time(0,5,0)</f>
        <v>0.8326388889</v>
      </c>
      <c r="H23" s="11">
        <f t="shared" si="49"/>
        <v>0.8361111111</v>
      </c>
      <c r="I23" s="11">
        <f t="shared" si="49"/>
        <v>0.8395833333</v>
      </c>
      <c r="J23" s="11">
        <f t="shared" si="8"/>
        <v>0.8409722222</v>
      </c>
      <c r="K23" s="11">
        <f t="shared" si="9"/>
        <v>0.8430555556</v>
      </c>
      <c r="L23" s="11">
        <f t="shared" si="10"/>
        <v>0.8465277778</v>
      </c>
    </row>
    <row r="24">
      <c r="A24" s="21">
        <v>0.8541666666666666</v>
      </c>
      <c r="B24" s="21">
        <f t="shared" si="15"/>
        <v>0.8583333333</v>
      </c>
      <c r="C24" s="21">
        <f t="shared" si="16"/>
        <v>0.8590277778</v>
      </c>
      <c r="D24" s="21">
        <f t="shared" ref="D24:E24" si="50">C24+time(0,3,0)</f>
        <v>0.8611111111</v>
      </c>
      <c r="E24" s="21">
        <f t="shared" si="50"/>
        <v>0.8631944444</v>
      </c>
      <c r="F24" s="21">
        <f t="shared" si="18"/>
        <v>0.8638888889</v>
      </c>
      <c r="G24" s="21">
        <f t="shared" ref="G24:I24" si="51">F24+time(0,5,0)</f>
        <v>0.8673611111</v>
      </c>
      <c r="H24" s="21">
        <f t="shared" si="51"/>
        <v>0.8708333333</v>
      </c>
      <c r="I24" s="21">
        <f t="shared" si="51"/>
        <v>0.8743055556</v>
      </c>
      <c r="J24" s="21">
        <f t="shared" si="8"/>
        <v>0.8756944444</v>
      </c>
      <c r="K24" s="21">
        <f t="shared" si="9"/>
        <v>0.8777777778</v>
      </c>
      <c r="L24" s="21">
        <f t="shared" si="10"/>
        <v>0.88125</v>
      </c>
    </row>
    <row r="25">
      <c r="A25" s="11">
        <v>0.8958333333333334</v>
      </c>
      <c r="B25" s="11">
        <f t="shared" si="15"/>
        <v>0.9</v>
      </c>
      <c r="C25" s="11">
        <f t="shared" si="16"/>
        <v>0.9006944444</v>
      </c>
      <c r="D25" s="11">
        <f t="shared" ref="D25:E25" si="52">C25+time(0,3,0)</f>
        <v>0.9027777778</v>
      </c>
      <c r="E25" s="11">
        <f t="shared" si="52"/>
        <v>0.9048611111</v>
      </c>
      <c r="F25" s="11">
        <f t="shared" si="18"/>
        <v>0.9055555556</v>
      </c>
      <c r="G25" s="11">
        <f t="shared" ref="G25:I25" si="53">F25+time(0,5,0)</f>
        <v>0.9090277778</v>
      </c>
      <c r="H25" s="11">
        <f t="shared" si="53"/>
        <v>0.9125</v>
      </c>
      <c r="I25" s="11">
        <f t="shared" si="53"/>
        <v>0.9159722222</v>
      </c>
      <c r="J25" s="11">
        <f t="shared" si="8"/>
        <v>0.9173611111</v>
      </c>
      <c r="K25" s="11">
        <f t="shared" si="9"/>
        <v>0.9194444444</v>
      </c>
      <c r="L25" s="11">
        <f t="shared" si="10"/>
        <v>0.9229166667</v>
      </c>
    </row>
    <row r="26">
      <c r="A26" s="21">
        <v>0.9375</v>
      </c>
      <c r="B26" s="21">
        <f t="shared" si="15"/>
        <v>0.9416666667</v>
      </c>
      <c r="C26" s="21">
        <f t="shared" si="16"/>
        <v>0.9423611111</v>
      </c>
      <c r="D26" s="21">
        <f t="shared" ref="D26:E26" si="54">C26+time(0,3,0)</f>
        <v>0.9444444444</v>
      </c>
      <c r="E26" s="21">
        <f t="shared" si="54"/>
        <v>0.9465277778</v>
      </c>
      <c r="F26" s="21">
        <f t="shared" si="18"/>
        <v>0.9472222222</v>
      </c>
      <c r="G26" s="21">
        <f t="shared" ref="G26:I26" si="55">F26+time(0,5,0)</f>
        <v>0.9506944444</v>
      </c>
      <c r="H26" s="21">
        <f t="shared" si="55"/>
        <v>0.9541666667</v>
      </c>
      <c r="I26" s="21">
        <f t="shared" si="55"/>
        <v>0.9576388889</v>
      </c>
      <c r="J26" s="21">
        <f t="shared" si="8"/>
        <v>0.9590277778</v>
      </c>
      <c r="K26" s="21">
        <f t="shared" si="9"/>
        <v>0.9611111111</v>
      </c>
      <c r="L26" s="21">
        <f t="shared" si="10"/>
        <v>0.9645833333</v>
      </c>
    </row>
    <row r="27">
      <c r="A27" s="25">
        <v>0.9722222222222222</v>
      </c>
      <c r="B27" s="25">
        <f t="shared" si="15"/>
        <v>0.9763888889</v>
      </c>
      <c r="C27" s="25">
        <f t="shared" si="16"/>
        <v>0.9770833333</v>
      </c>
      <c r="D27" s="25">
        <f t="shared" ref="D27:E27" si="56">C27+time(0,3,0)</f>
        <v>0.9791666667</v>
      </c>
      <c r="E27" s="25">
        <f t="shared" si="56"/>
        <v>0.98125</v>
      </c>
      <c r="F27" s="25">
        <f t="shared" si="18"/>
        <v>0.9819444444</v>
      </c>
      <c r="G27" s="25">
        <f t="shared" ref="G27:I27" si="57">F27+time(0,5,0)</f>
        <v>0.9854166667</v>
      </c>
      <c r="H27" s="25">
        <f t="shared" si="57"/>
        <v>0.9888888889</v>
      </c>
      <c r="I27" s="25">
        <f t="shared" si="57"/>
        <v>0.9923611111</v>
      </c>
      <c r="J27" s="26" t="s">
        <v>19</v>
      </c>
      <c r="K27" s="26" t="s">
        <v>19</v>
      </c>
      <c r="L27" s="26" t="s">
        <v>19</v>
      </c>
    </row>
  </sheetData>
  <drawing r:id="rId1"/>
  <tableParts count="1">
    <tablePart r:id="rId3"/>
  </tableParts>
</worksheet>
</file>